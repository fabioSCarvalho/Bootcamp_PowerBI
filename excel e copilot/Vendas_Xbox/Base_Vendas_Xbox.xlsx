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31bea2c3470e5e/Desktop/Fábio/botcamp_PowerBI/Bootcamp_PowerBI/excel e copilot/Vendas_Xbox/"/>
    </mc:Choice>
  </mc:AlternateContent>
  <xr:revisionPtr revIDLastSave="434" documentId="13_ncr:1_{3C2F8ED6-40B2-4E08-832A-7140AC03FA60}" xr6:coauthVersionLast="47" xr6:coauthVersionMax="47" xr10:uidLastSave="{30D364DF-B38E-4C6B-882D-B4DFE80253C3}"/>
  <bookViews>
    <workbookView xWindow="-120" yWindow="-120" windowWidth="20730" windowHeight="11040" tabRatio="74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3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<sst xmlns="http://schemas.openxmlformats.org/spreadsheetml/2006/main" count="2022" uniqueCount="324">
  <si>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</si>
  <si>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</si>
  <si>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</si>
  <si>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</si>
  <si>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</si>
  <si>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</si>
  <si>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</si>
  <si>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</si>
  <si>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</si>
  <si>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</si>
  <si>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</si>
  <si>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</si>
  <si>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</si>
  <si>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</si>
  <si>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</si>
  <si>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</si>
  <si>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</si>
  <si>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</si>
  <si>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</si>
  <si>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</si>
  <si>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</si>
  <si>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</si>
  <si>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</si>
  <si>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</si>
  <si>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</si>
  <si>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</si>
  <si>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</si>
  <si>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</si>
  <si>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</si>
  <si>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</si>
  <si>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</si>
  <si>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</si>
  <si>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</si>
  <si>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</si>
  <si>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</si>
  <si>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</si>
  <si>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</si>
  <si>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</si>
  <si>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</si>
  <si>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</si>
  <si>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</si>
  <si>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</si>
  <si>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</si>
  <si>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</si>
  <si>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</si>
  <si>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</si>
  <si>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</si>
  <si>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</si>
  <si>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</si>
  <si>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</si>
  <si>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</si>
  <si>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</si>
  <si>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</si>
  <si>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</si>
  <si>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</si>
  <si>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</si>
  <si>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</si>
  <si>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</si>
  <si>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</si>
  <si>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</si>
  <si>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</si>
  <si>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</si>
  <si>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</si>
  <si>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</si>
  <si>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</si>
  <si>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</si>
  <si>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</si>
  <si>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</si>
  <si>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</si>
  <si>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</si>
  <si>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</si>
  <si>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</si>
  <si>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</si>
  <si>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</si>
  <si>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</si>
  <si>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</si>
  <si>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</si>
  <si>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</si>
  <si>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</si>
  <si>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</si>
  <si>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</si>
  <si>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</si>
  <si>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</si>
  <si>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</si>
  <si>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</si>
  <si>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</si>
  <si>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</si>
  <si>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</si>
  <si>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</si>
  <si>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</si>
  <si>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</si>
  <si>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</si>
  <si>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</si>
  <si>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</si>
  <si>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</si>
  <si>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</si>
  <si>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</si>
  <si>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</si>
  <si>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</si>
  <si>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</si>
  <si>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</si>
  <si>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</si>
  <si>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</si>
  <si>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</si>
  <si>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</si>
  <si>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</si>
  <si>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</si>
  <si>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</si>
  <si>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</si>
  <si>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</si>
  <si>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</si>
  <si>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</si>
  <si>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</si>
  <si>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</si>
  <si>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</si>
  <si>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</si>
  <si>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</si>
  <si>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</si>
  <si>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</si>
  <si>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</si>
  <si>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</si>
  <si>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</si>
  <si>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</si>
  <si>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</si>
  <si>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</si>
  <si>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</si>
  <si>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</si>
  <si>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</si>
  <si>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</si>
  <si>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</si>
  <si>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</si>
  <si>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</si>
  <si>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</si>
  <si>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</si>
  <si>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</si>
  <si>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</si>
  <si>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</si>
  <si>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</si>
  <si>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</si>
  <si>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</si>
  <si>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</si>
  <si>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</si>
  <si>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</si>
  <si>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</si>
  <si>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</si>
  <si>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</si>
  <si>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</si>
  <si>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</si>
  <si>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</si>
  <si>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</si>
  <si>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</si>
  <si>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</si>
  <si>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</si>
  <si>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</si>
  <si>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</si>
  <si>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</si>
  <si>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</si>
  <si>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</si>
  <si>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</si>
  <si>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</si>
  <si>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</si>
  <si>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</si>
  <si>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</si>
  <si>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</si>
  <si>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</si>
  <si>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</si>
  <si>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</si>
  <si>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</si>
  <si>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</si>
  <si>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</si>
  <si>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</si>
  <si>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</si>
  <si>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</si>
  <si>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</si>
  <si>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</si>
  <si>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</si>
  <si>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</si>
  <si>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</si>
  <si>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</si>
  <si>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</si>
  <si>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</si>
  <si>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</si>
  <si>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</si>
  <si>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</si>
  <si>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</si>
  <si>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</si>
  <si>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</si>
  <si>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</si>
  <si>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</si>
  <si>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</si>
  <si>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</si>
  <si>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</si>
  <si>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</si>
  <si>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</si>
  <si>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</si>
  <si>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</si>
  <si>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</si>
  <si>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</si>
  <si>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</si>
  <si>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</si>
  <si>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</si>
  <si>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</si>
  <si>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</si>
  <si>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</si>
  <si>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</si>
  <si>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</si>
  <si>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</si>
  <si>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</si>
  <si>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</si>
  <si>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</si>
  <si>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</si>
  <si>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</si>
  <si>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</si>
  <si>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</si>
  <si>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</si>
  <si>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</si>
  <si>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</si>
  <si>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</si>
  <si>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</si>
  <si>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</si>
  <si>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</si>
  <si>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</si>
  <si>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</si>
  <si>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</si>
  <si>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</si>
  <si>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</si>
  <si>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</si>
  <si>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</si>
  <si>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</si>
  <si>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</si>
  <si>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</si>
  <si>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</si>
  <si>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</si>
  <si>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</si>
  <si>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</si>
  <si>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</si>
  <si>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</si>
  <si>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</si>
  <si>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</si>
  <si>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</si>
  <si>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</si>
  <si>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</si>
  <si>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</si>
  <si>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</si>
  <si>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</si>
  <si>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</si>
  <si>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</si>
  <si>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</si>
  <si>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</si>
  <si>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</si>
  <si>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</si>
  <si>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</si>
  <si>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</si>
  <si>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</si>
  <si>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</si>
  <si>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</si>
  <si>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</si>
  <si>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</si>
  <si>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</si>
  <si>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</si>
  <si>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</si>
  <si>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</si>
  <si>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</si>
  <si>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</si>
  <si>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</si>
  <si>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</si>
  <si>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</si>
  <si>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</si>
  <si>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</si>
  <si>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</si>
  <si>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</si>
  <si>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</si>
  <si>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</si>
  <si>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</si>
  <si>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</si>
  <si>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</si>
  <si>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</si>
  <si>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</si>
  <si>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</si>
  <si>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</si>
  <si>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</si>
  <si>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</si>
  <si>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</si>
  <si>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</si>
  <si>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</si>
  <si>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</si>
  <si>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</si>
  <si>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</si>
  <si>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</si>
  <si>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</si>
  <si>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</si>
  <si>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</si>
  <si>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</si>
  <si>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</si>
  <si>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</si>
  <si>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</si>
  <si>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</si>
  <si>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</si>
  <si>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</si>
  <si>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</si>
  <si>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</si>
  <si>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</si>
  <si>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</si>
  <si>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</si>
  <si>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</si>
  <si>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</si>
  <si>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</si>
  <si>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</si>
  <si>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</si>
  <si>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</si>
  <si>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</si>
  <si>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</si>
  <si>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</si>
  <si>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</si>
  <si>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</si>
  <si>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</si>
  <si>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 xml:space="preserve"> Informação: é uma perguta de negócio respondida através de alguma análide de dados easpecificos </t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</si>
  <si>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</si>
  <si>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separadas por auto renovação e por auto renovação</t>
    </r>
  </si>
  <si>
    <t>XBOX GAME PASS SUBSCRIPTION SALES</t>
  </si>
  <si>
    <t>Pergunta de negócio 3: Total de vendas de assinaturas do EA Play</t>
  </si>
  <si>
    <t>Soma de EA Play Season Pass</t>
  </si>
  <si>
    <t>Pergunta de negócio 3: Total de vendas de assinaturas do Minecraft Season pass</t>
  </si>
  <si>
    <t>Contagem de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</si>
</sst>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2C55E"/>
      <name val="Sabo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7" borderId="0" xfId="1" applyFont="1" applyFill="1" applyBorder="1"/>
    <xf numFmtId="164" fontId="0" fillId="0" borderId="0" xfId="0" applyNumberFormat="1"/>
    <xf numFmtId="0" fontId="0" fillId="0" borderId="0" xfId="0" applyNumberFormat="1"/>
    <xf numFmtId="0" fontId="4" fillId="0" borderId="2" xfId="1" applyFont="1" applyBorder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43D4770-8A37-4632-A88E-336CEE7C2FF1}">
      <tableStyleElement type="wholeTable" dxfId="15"/>
      <tableStyleElement type="headerRow" dxfId="14"/>
    </tableStyle>
  </tableStyles>
  <colors>
    <mruColors>
      <color rgb="FF2AE6B1"/>
      <color rgb="FF5BF6A8"/>
      <color rgb="FF22C55E"/>
      <color rgb="FFE8E6E9"/>
      <color rgb="FF9BC84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[Base_Vendas_Xbox.xlsx]C̳álculos!tbl_annual_total</c:name>
    <c:fmtId val="5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925426037375527E-2"/>
          <c:y val="0.12268168551265696"/>
          <c:w val="0.74500311917359097"/>
          <c:h val="0.80565129627376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5-4234-9C8B-39862044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5881360"/>
        <c:axId val="1935879920"/>
      </c:barChart>
      <c:catAx>
        <c:axId val="193588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5879920"/>
        <c:crosses val="autoZero"/>
        <c:auto val="1"/>
        <c:lblAlgn val="ctr"/>
        <c:lblOffset val="100"/>
        <c:noMultiLvlLbl val="0"/>
      </c:catAx>
      <c:valAx>
        <c:axId val="19358799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358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226219</xdr:colOff>
      <xdr:row>0</xdr:row>
      <xdr:rowOff>154783</xdr:rowOff>
    </xdr:from>
    <xdr:to>
      <xdr:col>2</xdr:col>
      <xdr:colOff>511969</xdr:colOff>
      <xdr:row>2</xdr:row>
      <xdr:rowOff>60588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ED4ABB-4932-474C-8960-BD10A842AE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380" t="-12893" r="66136" b="-21184"/>
        <a:stretch>
          <a:fillRect/>
        </a:stretch>
      </xdr:blipFill>
      <xdr:spPr>
        <a:xfrm>
          <a:off x="1791040" y="154783"/>
          <a:ext cx="530679" cy="599769"/>
        </a:xfrm>
        <a:prstGeom prst="rect">
          <a:avLst/>
        </a:prstGeom>
      </xdr:spPr>
    </xdr:pic>
    <xdr:clientData/>
  </xdr:twoCellAnchor>
  <xdr:twoCellAnchor>
    <xdr:from>
      <xdr:col>1</xdr:col>
      <xdr:colOff>142874</xdr:colOff>
      <xdr:row>11</xdr:row>
      <xdr:rowOff>142874</xdr:rowOff>
    </xdr:from>
    <xdr:to>
      <xdr:col>15</xdr:col>
      <xdr:colOff>423080</xdr:colOff>
      <xdr:row>25</xdr:row>
      <xdr:rowOff>152184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D6A0FD3-753B-4C04-8A66-E4D7BE127EAE}"/>
            </a:ext>
          </a:extLst>
        </xdr:cNvPr>
        <xdr:cNvGrpSpPr/>
      </xdr:nvGrpSpPr>
      <xdr:grpSpPr>
        <a:xfrm>
          <a:off x="1707695" y="2483303"/>
          <a:ext cx="8308421" cy="2676310"/>
          <a:chOff x="1890098" y="845628"/>
          <a:chExt cx="4229100" cy="249515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D03B2397-6C60-A083-9970-6867055C0392}"/>
              </a:ext>
            </a:extLst>
          </xdr:cNvPr>
          <xdr:cNvSpPr/>
        </xdr:nvSpPr>
        <xdr:spPr>
          <a:xfrm>
            <a:off x="1890098" y="845628"/>
            <a:ext cx="4229100" cy="239767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902F752-2852-442C-835F-19A48FD273A1}"/>
              </a:ext>
            </a:extLst>
          </xdr:cNvPr>
          <xdr:cNvGraphicFramePr>
            <a:graphicFrameLocks/>
          </xdr:cNvGraphicFramePr>
        </xdr:nvGraphicFramePr>
        <xdr:xfrm>
          <a:off x="2054980" y="916669"/>
          <a:ext cx="4018208" cy="24241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66675</xdr:colOff>
      <xdr:row>5</xdr:row>
      <xdr:rowOff>83344</xdr:rowOff>
    </xdr:from>
    <xdr:to>
      <xdr:col>0</xdr:col>
      <xdr:colOff>1519237</xdr:colOff>
      <xdr:row>13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1D8C5B6-784F-48FC-9168-DA989EDD13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117487"/>
              <a:ext cx="1452562" cy="1642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228718</xdr:colOff>
      <xdr:row>4</xdr:row>
      <xdr:rowOff>136071</xdr:rowOff>
    </xdr:from>
    <xdr:to>
      <xdr:col>9</xdr:col>
      <xdr:colOff>9525</xdr:colOff>
      <xdr:row>11</xdr:row>
      <xdr:rowOff>40480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F766FE7-39A0-0C07-103A-BE2B3B0F0052}"/>
            </a:ext>
          </a:extLst>
        </xdr:cNvPr>
        <xdr:cNvGrpSpPr/>
      </xdr:nvGrpSpPr>
      <xdr:grpSpPr>
        <a:xfrm>
          <a:off x="1793539" y="1034142"/>
          <a:ext cx="4311986" cy="1346767"/>
          <a:chOff x="1788319" y="988219"/>
          <a:chExt cx="4269581" cy="133826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C50AAB18-EA70-574F-32C5-BB6DF066336A}"/>
              </a:ext>
            </a:extLst>
          </xdr:cNvPr>
          <xdr:cNvSpPr/>
        </xdr:nvSpPr>
        <xdr:spPr>
          <a:xfrm>
            <a:off x="2014538" y="992981"/>
            <a:ext cx="4043362" cy="13335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0"/>
          </a:p>
        </xdr:txBody>
      </xdr:sp>
      <xdr:sp macro="" textlink="C̳álculos!E23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9C3E772-BE9E-41E3-8B90-5D79F96D0182}"/>
              </a:ext>
            </a:extLst>
          </xdr:cNvPr>
          <xdr:cNvSpPr/>
        </xdr:nvSpPr>
        <xdr:spPr>
          <a:xfrm>
            <a:off x="2607468" y="1168004"/>
            <a:ext cx="3348037" cy="105013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A09EBCE-90E0-44A9-8258-DB1867B10E9D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R$ 1.350,00</a:t>
            </a:fld>
            <a:endParaRPr lang="pt-BR" sz="3600" b="0">
              <a:solidFill>
                <a:srgbClr val="5BF6A8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823E950-7DE4-4DA8-850A-EF507CBDC5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5459" y="1073096"/>
            <a:ext cx="1216819" cy="1209675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DDB4289A-F11D-6605-1375-D7FBCC69949A}"/>
              </a:ext>
            </a:extLst>
          </xdr:cNvPr>
          <xdr:cNvSpPr/>
        </xdr:nvSpPr>
        <xdr:spPr>
          <a:xfrm>
            <a:off x="1788319" y="988219"/>
            <a:ext cx="4043362" cy="3167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  DO </a:t>
            </a:r>
            <a:r>
              <a:rPr lang="pt-BR" sz="1100" b="1">
                <a:solidFill>
                  <a:schemeClr val="bg1"/>
                </a:solidFill>
              </a:rPr>
              <a:t>EA </a:t>
            </a:r>
            <a:r>
              <a:rPr lang="pt-BR" sz="1100" b="1" baseline="0">
                <a:solidFill>
                  <a:schemeClr val="bg1"/>
                </a:solidFill>
              </a:rPr>
              <a:t> PLAY SEASON PASS</a:t>
            </a:r>
            <a:endParaRPr lang="pt-BR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8</xdr:col>
      <xdr:colOff>488156</xdr:colOff>
      <xdr:row>4</xdr:row>
      <xdr:rowOff>96440</xdr:rowOff>
    </xdr:from>
    <xdr:to>
      <xdr:col>16</xdr:col>
      <xdr:colOff>130968</xdr:colOff>
      <xdr:row>11</xdr:row>
      <xdr:rowOff>39290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2DB6916-88D3-9E0A-F701-FC2558F61501}"/>
            </a:ext>
          </a:extLst>
        </xdr:cNvPr>
        <xdr:cNvGrpSpPr/>
      </xdr:nvGrpSpPr>
      <xdr:grpSpPr>
        <a:xfrm>
          <a:off x="5971835" y="994511"/>
          <a:ext cx="4364490" cy="1385208"/>
          <a:chOff x="6167437" y="1021556"/>
          <a:chExt cx="4452938" cy="153828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D0BB47E3-CBB7-4B89-A67D-764F4DED6B14}"/>
              </a:ext>
            </a:extLst>
          </xdr:cNvPr>
          <xdr:cNvGrpSpPr/>
        </xdr:nvGrpSpPr>
        <xdr:grpSpPr>
          <a:xfrm>
            <a:off x="6167437" y="1021556"/>
            <a:ext cx="4452938" cy="1538288"/>
            <a:chOff x="1681161" y="988219"/>
            <a:chExt cx="4452938" cy="1538288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EBA76E98-3136-4050-B5CA-6487E416CEE5}"/>
                </a:ext>
              </a:extLst>
            </xdr:cNvPr>
            <xdr:cNvSpPr/>
          </xdr:nvSpPr>
          <xdr:spPr>
            <a:xfrm>
              <a:off x="1681161" y="1123949"/>
              <a:ext cx="4214813" cy="1402558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/>
            </a:p>
          </xdr:txBody>
        </xdr:sp>
        <xdr:sp macro="" textlink="C̳álculos!E33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0B257D3-9549-B3C0-37B5-EC5CF1310744}"/>
                </a:ext>
              </a:extLst>
            </xdr:cNvPr>
            <xdr:cNvSpPr/>
          </xdr:nvSpPr>
          <xdr:spPr>
            <a:xfrm>
              <a:off x="2786062" y="1275160"/>
              <a:ext cx="3348037" cy="105013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CB7ECB4-E611-44D4-BB65-730ECB500B4F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t>R$ 139,00</a:t>
              </a:fld>
              <a:endParaRPr lang="pt-BR" sz="3600" b="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798B7AC8-5852-E2F8-E8C0-09EA5D973D3C}"/>
                </a:ext>
              </a:extLst>
            </xdr:cNvPr>
            <xdr:cNvSpPr/>
          </xdr:nvSpPr>
          <xdr:spPr>
            <a:xfrm>
              <a:off x="1693068" y="988219"/>
              <a:ext cx="4226718" cy="316706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  DO </a:t>
              </a:r>
              <a:r>
                <a:rPr lang="pt-BR" sz="1100" b="1">
                  <a:solidFill>
                    <a:schemeClr val="bg1"/>
                  </a:solidFill>
                </a:rPr>
                <a:t>MINECRAFT</a:t>
              </a:r>
              <a:r>
                <a:rPr lang="pt-BR" sz="1100" b="1" baseline="0">
                  <a:solidFill>
                    <a:schemeClr val="bg1"/>
                  </a:solidFill>
                </a:rPr>
                <a:t>  SEASON PASS</a:t>
              </a:r>
              <a:endParaRPr lang="pt-BR" sz="11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BCED6EB-CB17-4A27-9522-BA1FB46CC07A}"/>
              </a:ext>
            </a:extLst>
          </xdr:cNvPr>
          <xdr:cNvGrpSpPr/>
        </xdr:nvGrpSpPr>
        <xdr:grpSpPr>
          <a:xfrm>
            <a:off x="6369845" y="1433091"/>
            <a:ext cx="1241129" cy="685835"/>
            <a:chOff x="3495675" y="5443586"/>
            <a:chExt cx="1442145" cy="734659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6F903879-CE80-3789-310B-45A90BCAFE4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43586"/>
              <a:ext cx="517018" cy="567372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256FCF73-3B06-ED28-72B5-4EF43D1AC99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938849"/>
              <a:ext cx="1442145" cy="23939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178593</xdr:colOff>
      <xdr:row>11</xdr:row>
      <xdr:rowOff>130967</xdr:rowOff>
    </xdr:from>
    <xdr:to>
      <xdr:col>15</xdr:col>
      <xdr:colOff>488155</xdr:colOff>
      <xdr:row>13</xdr:row>
      <xdr:rowOff>178592</xdr:rowOff>
    </xdr:to>
    <xdr:sp macro="" textlink="">
      <xdr:nvSpPr>
        <xdr:cNvPr id="21" name="Retângulo: Cantos Superiores Arredondados 20">
          <a:extLst>
            <a:ext uri="{FF2B5EF4-FFF2-40B4-BE49-F238E27FC236}">
              <a16:creationId xmlns:a16="http://schemas.microsoft.com/office/drawing/2014/main" id="{BDEE0C8A-71F6-41E5-AA2D-952F664DB912}"/>
            </a:ext>
          </a:extLst>
        </xdr:cNvPr>
        <xdr:cNvSpPr/>
      </xdr:nvSpPr>
      <xdr:spPr>
        <a:xfrm>
          <a:off x="1738312" y="2452686"/>
          <a:ext cx="8274843" cy="42862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TOTAL SUBSCRIPTION  XBOX GAME PASS</a:t>
          </a:r>
        </a:p>
      </xdr:txBody>
    </xdr:sp>
    <xdr:clientData/>
  </xdr:twoCellAnchor>
  <xdr:twoCellAnchor editAs="absolute">
    <xdr:from>
      <xdr:col>0</xdr:col>
      <xdr:colOff>71438</xdr:colOff>
      <xdr:row>1</xdr:row>
      <xdr:rowOff>1</xdr:rowOff>
    </xdr:from>
    <xdr:to>
      <xdr:col>0</xdr:col>
      <xdr:colOff>726281</xdr:colOff>
      <xdr:row>3</xdr:row>
      <xdr:rowOff>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AC666A47-22BA-4848-BC6E-B9B664A6F0B3}"/>
            </a:ext>
          </a:extLst>
        </xdr:cNvPr>
        <xdr:cNvSpPr/>
      </xdr:nvSpPr>
      <xdr:spPr>
        <a:xfrm>
          <a:off x="71438" y="190501"/>
          <a:ext cx="654843" cy="60721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35718</xdr:colOff>
      <xdr:row>4</xdr:row>
      <xdr:rowOff>0</xdr:rowOff>
    </xdr:from>
    <xdr:to>
      <xdr:col>0</xdr:col>
      <xdr:colOff>1512094</xdr:colOff>
      <xdr:row>5</xdr:row>
      <xdr:rowOff>71437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393C0EDF-2F56-69C6-FBC2-9F251FA5DE92}"/>
            </a:ext>
          </a:extLst>
        </xdr:cNvPr>
        <xdr:cNvSpPr/>
      </xdr:nvSpPr>
      <xdr:spPr>
        <a:xfrm>
          <a:off x="35718" y="892969"/>
          <a:ext cx="1476376" cy="2024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&gt; Bem</a:t>
          </a:r>
          <a:r>
            <a:rPr lang="pt-BR" sz="1100" b="1" baseline="0"/>
            <a:t> Vindo Fábio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0" refreshedDate="45971.997664467592" createdVersion="8" refreshedVersion="8" minRefreshableVersion="3" recordCount="295" xr:uid="{2F71360B-3BCD-4C60-911F-EBF70DFDBB5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775367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866C5-A811-4A79-8231-1B5EFC4F03C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8891D-8EF4-49BA-A475-8C317CEA321E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6ECE3-68A4-4FA9-B0C3-C83C398C7686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F255ABB-AB9B-4A73-9242-FB02F409B255}" sourceName="Subscription Type">
  <pivotTables>
    <pivotTable tabId="3" name="tbl_annual_total"/>
    <pivotTable tabId="3" name="tbl_eaSeasonPass_total"/>
    <pivotTable tabId="3" name="Tabela dinâmica1"/>
  </pivotTables>
  <data>
    <tabular pivotCacheId="87753677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AA08567-96A3-4EB9-B9FB-7F34ABB4FDA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E33"/>
  <sheetViews>
    <sheetView showGridLines="0" topLeftCell="A23" workbookViewId="0">
      <selection activeCell="B6" sqref="B6"/>
    </sheetView>
  </sheetViews>
  <sheetFormatPr defaultRowHeight="15"/>
  <cols>
    <col min="2" max="2" width="18.42578125" bestFit="1" customWidth="1"/>
    <col min="3" max="3" width="34.42578125" bestFit="1" customWidth="1"/>
    <col min="4" max="4" width="20.140625" customWidth="1"/>
    <col min="5" max="5" width="10.7109375" bestFit="1" customWidth="1"/>
    <col min="6" max="17" width="9.7109375" bestFit="1" customWidth="1"/>
    <col min="18" max="18" width="12.140625" bestFit="1" customWidth="1"/>
  </cols>
  <sheetData>
    <row r="3" spans="1:3">
      <c r="A3" t="s">
        <v>316</v>
      </c>
    </row>
    <row r="5" spans="1:3">
      <c r="B5" t="s">
        <v>317</v>
      </c>
    </row>
    <row r="6" spans="1:3">
      <c r="B6" t="s">
        <v>318</v>
      </c>
    </row>
    <row r="8" spans="1:3">
      <c r="B8" s="12" t="s">
        <v>16</v>
      </c>
      <c r="C8" t="s">
        <v>20</v>
      </c>
    </row>
    <row r="10" spans="1:3">
      <c r="B10" s="12" t="s">
        <v>314</v>
      </c>
      <c r="C10" t="s">
        <v>315</v>
      </c>
    </row>
    <row r="11" spans="1:3">
      <c r="B11" s="14" t="s">
        <v>23</v>
      </c>
      <c r="C11" s="13">
        <v>2824</v>
      </c>
    </row>
    <row r="12" spans="1:3">
      <c r="B12" s="14" t="s">
        <v>19</v>
      </c>
      <c r="C12" s="13">
        <v>747</v>
      </c>
    </row>
    <row r="13" spans="1:3">
      <c r="B13" s="14" t="s">
        <v>313</v>
      </c>
      <c r="C13" s="13">
        <v>3571</v>
      </c>
    </row>
    <row r="15" spans="1:3">
      <c r="B15" s="14" t="s">
        <v>320</v>
      </c>
    </row>
    <row r="17" spans="2:5">
      <c r="B17" s="12" t="s">
        <v>16</v>
      </c>
      <c r="C17" t="s">
        <v>20</v>
      </c>
    </row>
    <row r="19" spans="2:5">
      <c r="B19" s="12" t="s">
        <v>314</v>
      </c>
      <c r="C19" t="s">
        <v>321</v>
      </c>
    </row>
    <row r="20" spans="2:5">
      <c r="B20" s="14" t="s">
        <v>22</v>
      </c>
      <c r="C20" s="17">
        <v>0</v>
      </c>
    </row>
    <row r="21" spans="2:5">
      <c r="B21" s="14" t="s">
        <v>26</v>
      </c>
      <c r="C21" s="17">
        <v>0</v>
      </c>
    </row>
    <row r="22" spans="2:5">
      <c r="B22" s="14" t="s">
        <v>18</v>
      </c>
      <c r="C22" s="17">
        <v>1350</v>
      </c>
    </row>
    <row r="23" spans="2:5">
      <c r="B23" s="14" t="s">
        <v>313</v>
      </c>
      <c r="C23" s="17">
        <v>1350</v>
      </c>
      <c r="E23" s="16">
        <f>GETPIVOTDATA("EA Play Season Pass
Price",$B$19)</f>
        <v>1350</v>
      </c>
    </row>
    <row r="25" spans="2:5">
      <c r="B25" s="14" t="s">
        <v>322</v>
      </c>
    </row>
    <row r="27" spans="2:5">
      <c r="B27" s="12" t="s">
        <v>16</v>
      </c>
      <c r="C27" t="s">
        <v>20</v>
      </c>
    </row>
    <row r="29" spans="2:5">
      <c r="B29" s="12" t="s">
        <v>314</v>
      </c>
      <c r="C29" t="s">
        <v>323</v>
      </c>
    </row>
    <row r="30" spans="2:5">
      <c r="B30" s="14" t="s">
        <v>22</v>
      </c>
      <c r="C30" s="17">
        <v>49</v>
      </c>
    </row>
    <row r="31" spans="2:5">
      <c r="B31" s="14" t="s">
        <v>26</v>
      </c>
      <c r="C31" s="17">
        <v>45</v>
      </c>
    </row>
    <row r="32" spans="2:5">
      <c r="B32" s="14" t="s">
        <v>18</v>
      </c>
      <c r="C32" s="17">
        <v>45</v>
      </c>
    </row>
    <row r="33" spans="2:5">
      <c r="B33" s="14" t="s">
        <v>313</v>
      </c>
      <c r="C33" s="17">
        <v>139</v>
      </c>
      <c r="E33" s="16">
        <f>GETPIVOTDATA("Minecraft Season Pass",$B$29)</f>
        <v>139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200"/>
  <sheetViews>
    <sheetView tabSelected="1" zoomScale="70" zoomScaleNormal="70" workbookViewId="0">
      <selection activeCell="C4" sqref="C4:I6"/>
    </sheetView>
  </sheetViews>
  <sheetFormatPr defaultRowHeight="15"/>
  <cols>
    <col min="1" max="1" width="23.42578125" style="4" customWidth="1"/>
    <col min="2" max="2" width="3.5703125" customWidth="1"/>
    <col min="12" max="12" width="6.5703125" customWidth="1"/>
  </cols>
  <sheetData>
    <row r="2" spans="1:16" ht="39.75" customHeight="1" thickBot="1">
      <c r="C2" s="21" t="s">
        <v>319</v>
      </c>
      <c r="D2" s="18"/>
      <c r="E2" s="18"/>
      <c r="F2" s="18"/>
      <c r="G2" s="18"/>
      <c r="H2" s="18"/>
      <c r="I2" s="18"/>
      <c r="J2" s="19"/>
      <c r="K2" s="19"/>
      <c r="L2" s="19"/>
      <c r="M2" s="20"/>
      <c r="N2" s="19"/>
      <c r="O2" s="19"/>
      <c r="P2" s="20"/>
    </row>
    <row r="3" spans="1:16" s="7" customFormat="1" ht="8.25" customHeight="1" thickTop="1">
      <c r="A3" s="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6" s="7" customFormat="1" ht="7.5" customHeight="1">
      <c r="A4" s="4"/>
    </row>
    <row r="5" spans="1:16" s="7" customFormat="1" ht="10.5" customHeight="1">
      <c r="A5" s="4"/>
    </row>
    <row r="6" spans="1:16" s="7" customFormat="1" ht="9.75" customHeight="1">
      <c r="A6" s="4"/>
    </row>
    <row r="7" spans="1:16" s="7" customFormat="1" ht="33" customHeight="1">
      <c r="A7" s="4"/>
    </row>
    <row r="8" spans="1:16" s="7" customFormat="1">
      <c r="A8" s="4"/>
    </row>
    <row r="9" spans="1:16" s="7" customFormat="1">
      <c r="A9" s="4"/>
    </row>
    <row r="10" spans="1:16" s="7" customFormat="1">
      <c r="A10" s="4"/>
    </row>
    <row r="11" spans="1:16" s="7" customFormat="1">
      <c r="A11" s="4"/>
    </row>
    <row r="12" spans="1:16" s="7" customFormat="1">
      <c r="A12" s="4"/>
    </row>
    <row r="13" spans="1:16" s="7" customFormat="1">
      <c r="A13" s="4"/>
    </row>
    <row r="14" spans="1:16" s="7" customFormat="1">
      <c r="A14" s="4"/>
    </row>
    <row r="15" spans="1:16" s="7" customFormat="1">
      <c r="A15" s="4"/>
    </row>
    <row r="16" spans="1:16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Fábio de Souza Carvalho</cp:lastModifiedBy>
  <dcterms:created xsi:type="dcterms:W3CDTF">2024-12-19T13:13:10Z</dcterms:created>
  <dcterms:modified xsi:type="dcterms:W3CDTF">2025-11-13T19:40:09Z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